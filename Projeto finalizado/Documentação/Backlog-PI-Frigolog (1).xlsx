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xr:revisionPtr revIDLastSave="0" documentId="8_{ADEE4CF3-E643-4D24-B033-1AD302E8D03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ificuldade" sheetId="1" r:id="rId1"/>
    <sheet name="Burndow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C3" i="2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</calcChain>
</file>

<file path=xl/sharedStrings.xml><?xml version="1.0" encoding="utf-8"?>
<sst xmlns="http://schemas.openxmlformats.org/spreadsheetml/2006/main" count="284" uniqueCount="113">
  <si>
    <t>Requisitos</t>
  </si>
  <si>
    <t>Descrição</t>
  </si>
  <si>
    <t>Classificação</t>
  </si>
  <si>
    <t>Tamanho</t>
  </si>
  <si>
    <t>Tamanho em pontos</t>
  </si>
  <si>
    <t>Prioridade</t>
  </si>
  <si>
    <t>Sprint</t>
  </si>
  <si>
    <t>Responsável</t>
  </si>
  <si>
    <t>Criar documentação</t>
  </si>
  <si>
    <t>Criação da documentação inicial do projeto</t>
  </si>
  <si>
    <t>Essencial</t>
  </si>
  <si>
    <t>M</t>
  </si>
  <si>
    <t>Sprint1</t>
  </si>
  <si>
    <t>Felipe Santos</t>
  </si>
  <si>
    <t>Desenvolver o contexto, objetivo e justificativa do projeto</t>
  </si>
  <si>
    <t>Desenvolver e justificar o contexto, objetivo e justificativa  do projeto</t>
  </si>
  <si>
    <t>Thays Ramos</t>
  </si>
  <si>
    <t>Fazer simulador financeiro</t>
  </si>
  <si>
    <t>Criação da lógica do simulador financeiro</t>
  </si>
  <si>
    <t>G</t>
  </si>
  <si>
    <t>Matheus Martins</t>
  </si>
  <si>
    <t>Dias de projeto Sprint</t>
  </si>
  <si>
    <t>Criar protótipo do site</t>
  </si>
  <si>
    <t>Criação do protótipo que será utilizado para o desenvolvimento do site</t>
  </si>
  <si>
    <t>P</t>
  </si>
  <si>
    <t>Montar apresentação Sprint1</t>
  </si>
  <si>
    <t>Criação dos slides de apresentação de sprint</t>
  </si>
  <si>
    <t>Testar e rodar o código do Arduino</t>
  </si>
  <si>
    <t>Teste do código do Arduino juntamente com o sensor</t>
  </si>
  <si>
    <t>PP</t>
  </si>
  <si>
    <t>Luiz Phelipe</t>
  </si>
  <si>
    <t>Instalar o lubunto na VM local</t>
  </si>
  <si>
    <t>Instalação do SO lubunto através da VM local</t>
  </si>
  <si>
    <t>Importante</t>
  </si>
  <si>
    <t>Criar diagrama de visão de negócio</t>
  </si>
  <si>
    <t>Desenvolvimento do diagrama de visão de negócio</t>
  </si>
  <si>
    <t>Matheus Delfiol</t>
  </si>
  <si>
    <t>Criar repositório no Git Hub</t>
  </si>
  <si>
    <t>Criação de repositório do projeto no Git Hub</t>
  </si>
  <si>
    <t>Criar Trello</t>
  </si>
  <si>
    <t>Utilização da ferramenta de gestão Trello para organização das entregas do grupo</t>
  </si>
  <si>
    <t>Escolher e usar o sensor</t>
  </si>
  <si>
    <t>Escolha do sensor e do tema do projeto</t>
  </si>
  <si>
    <t>Bruno Rafael</t>
  </si>
  <si>
    <t>Realizar o setup de cliente virtualizado</t>
  </si>
  <si>
    <t>Inserir os requisitos na ferramenta de gestão</t>
  </si>
  <si>
    <t>Inserir os requisitos na ferramenta de gestão Trello</t>
  </si>
  <si>
    <t>Desenvolver a documentação do projeto</t>
  </si>
  <si>
    <t>Desenvolvimento e aprimoração do documento do projeto</t>
  </si>
  <si>
    <t>Sprint2</t>
  </si>
  <si>
    <t>Criar a tela do simulador financeiro</t>
  </si>
  <si>
    <t>Criação da tela HTML + CSS + JS do simulador financeiro</t>
  </si>
  <si>
    <t>GG</t>
  </si>
  <si>
    <t>Instalar o mysql na VM</t>
  </si>
  <si>
    <t>Instalação do aplicativo mysql na VM</t>
  </si>
  <si>
    <t>Realizar testes do sensor junto ao gráfico</t>
  </si>
  <si>
    <t>Testes do sensor com visualização no gráfico através da API</t>
  </si>
  <si>
    <t>Fazer modelagem do banco de dados</t>
  </si>
  <si>
    <t>Criação da modelagem do BD</t>
  </si>
  <si>
    <t>Fazer Script do banco de dados</t>
  </si>
  <si>
    <t>Criação do script do BD</t>
  </si>
  <si>
    <t>Criar diagrama de solução</t>
  </si>
  <si>
    <t>Criação do diagrama de solução</t>
  </si>
  <si>
    <t>Desenvolver tela de login</t>
  </si>
  <si>
    <t xml:space="preserve">Criação da tela de login </t>
  </si>
  <si>
    <t>Desenvolver tela de cadastro</t>
  </si>
  <si>
    <t>Criação da tela de cadastro</t>
  </si>
  <si>
    <t>Desenvolver tela home</t>
  </si>
  <si>
    <t>Criação da tela home</t>
  </si>
  <si>
    <t>Criar a dashboard</t>
  </si>
  <si>
    <t>Criação da dashboard para visualização dos dados</t>
  </si>
  <si>
    <t>Desenvolver a tela da dashboard</t>
  </si>
  <si>
    <t xml:space="preserve">Desenvolvimento da tela dashboard para a visualização do cliente </t>
  </si>
  <si>
    <t>Confeccionar a Planilha de Risco</t>
  </si>
  <si>
    <t>Criação da planilha de risco para poder prevenir riscos</t>
  </si>
  <si>
    <t>Criar o backlog</t>
  </si>
  <si>
    <t>Criação do backlog para melhor organização</t>
  </si>
  <si>
    <t>Desenvolver gráfico de burndown</t>
  </si>
  <si>
    <t>Criação do gráfico de burndown com base no backlog</t>
  </si>
  <si>
    <t>Fazer a simulação de selects no BD</t>
  </si>
  <si>
    <t>Simulação de insert e select no banco de dados</t>
  </si>
  <si>
    <t>Compreender e interpretar o tema novo</t>
  </si>
  <si>
    <t>Verificar os materiais feitos pelo grupo anterior</t>
  </si>
  <si>
    <t>Verificar a coerência dos materiais feitos pelo grupo anterior</t>
  </si>
  <si>
    <t>Instalar e configurar IDE Arduino</t>
  </si>
  <si>
    <t>Instalação e configuração da IDE que conecta o Arduino ao BD</t>
  </si>
  <si>
    <t>Testar integrado dashboard</t>
  </si>
  <si>
    <t>Teste integrado dashboard para verificação de funcionamento e recebimento de dados</t>
  </si>
  <si>
    <t>Testar integrado (Arduino + BD)</t>
  </si>
  <si>
    <t>Validar  a solução técnica junto com
o diagrama de solução</t>
  </si>
  <si>
    <t>Validação da solução técnica junto com o diagrama de solução</t>
  </si>
  <si>
    <t>Fazer a Infraestrutura simulada de cliente
servidos utilizando a VM Linux</t>
  </si>
  <si>
    <t>Sprint3</t>
  </si>
  <si>
    <t>Criar a planilha Sprint Backlog</t>
  </si>
  <si>
    <t>Criação da planilha da sprint backlog com base no backlog do semestre inteiro</t>
  </si>
  <si>
    <t>Montar apresentação Sprint2</t>
  </si>
  <si>
    <t>Criar Ata de reunião</t>
  </si>
  <si>
    <t>Criação das atas que serão utilizadas para documentar o que foi discutido em cada reunião</t>
  </si>
  <si>
    <t>Testar integrado da solução IoT</t>
  </si>
  <si>
    <t>Fazer Dat Acqu Ino + BobIA(N3)</t>
  </si>
  <si>
    <t>Fazer View BD</t>
  </si>
  <si>
    <t xml:space="preserve"> Criar o Documento de Mudança</t>
  </si>
  <si>
    <t>Criação  do documento de mudança</t>
  </si>
  <si>
    <t>Desenvolver a Ferramenta de Help Desk</t>
  </si>
  <si>
    <t>Desenvolvimento  da ferramenta de Help Desk</t>
  </si>
  <si>
    <t>Criar fluxograma do suporte</t>
  </si>
  <si>
    <t>Montar apresentação Sprint3</t>
  </si>
  <si>
    <t xml:space="preserve">578 / 82 </t>
  </si>
  <si>
    <t>DIas</t>
  </si>
  <si>
    <t>Meta Dia</t>
  </si>
  <si>
    <t>Meta Ideal</t>
  </si>
  <si>
    <t>Realizado Dia REAL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</si>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</sst>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7D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1" fillId="0" borderId="0" xfId="0" applyFont="1" applyAlignment="1">
      <alignment horizontal="center" wrapText="1"/>
    </xf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0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Burdown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Meta Ideal</c:v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Burndown!$C$2:$C$84</c:f>
              <c:numCache>
                <c:formatCode>General</c:formatCode>
                <c:ptCount val="83"/>
                <c:pt idx="0">
                  <c:v>578</c:v>
                </c:pt>
                <c:pt idx="1">
                  <c:v>571</c:v>
                </c:pt>
                <c:pt idx="2">
                  <c:v>564</c:v>
                </c:pt>
                <c:pt idx="3">
                  <c:v>557</c:v>
                </c:pt>
                <c:pt idx="4">
                  <c:v>550</c:v>
                </c:pt>
                <c:pt idx="5">
                  <c:v>543</c:v>
                </c:pt>
                <c:pt idx="6">
                  <c:v>536</c:v>
                </c:pt>
                <c:pt idx="7">
                  <c:v>529</c:v>
                </c:pt>
                <c:pt idx="8">
                  <c:v>522</c:v>
                </c:pt>
                <c:pt idx="9">
                  <c:v>515</c:v>
                </c:pt>
                <c:pt idx="10">
                  <c:v>508</c:v>
                </c:pt>
                <c:pt idx="11">
                  <c:v>501</c:v>
                </c:pt>
                <c:pt idx="12">
                  <c:v>494</c:v>
                </c:pt>
                <c:pt idx="13">
                  <c:v>487</c:v>
                </c:pt>
                <c:pt idx="14">
                  <c:v>480</c:v>
                </c:pt>
                <c:pt idx="15">
                  <c:v>473</c:v>
                </c:pt>
                <c:pt idx="16">
                  <c:v>466</c:v>
                </c:pt>
                <c:pt idx="17">
                  <c:v>459</c:v>
                </c:pt>
                <c:pt idx="18">
                  <c:v>452</c:v>
                </c:pt>
                <c:pt idx="19">
                  <c:v>445</c:v>
                </c:pt>
                <c:pt idx="20">
                  <c:v>438</c:v>
                </c:pt>
                <c:pt idx="21">
                  <c:v>431</c:v>
                </c:pt>
                <c:pt idx="22">
                  <c:v>424</c:v>
                </c:pt>
                <c:pt idx="23">
                  <c:v>417</c:v>
                </c:pt>
                <c:pt idx="24">
                  <c:v>410</c:v>
                </c:pt>
                <c:pt idx="25">
                  <c:v>403</c:v>
                </c:pt>
                <c:pt idx="26">
                  <c:v>396</c:v>
                </c:pt>
                <c:pt idx="27">
                  <c:v>389</c:v>
                </c:pt>
                <c:pt idx="28">
                  <c:v>382</c:v>
                </c:pt>
                <c:pt idx="29">
                  <c:v>375</c:v>
                </c:pt>
                <c:pt idx="30">
                  <c:v>368</c:v>
                </c:pt>
                <c:pt idx="31">
                  <c:v>361</c:v>
                </c:pt>
                <c:pt idx="32">
                  <c:v>354</c:v>
                </c:pt>
                <c:pt idx="33">
                  <c:v>347</c:v>
                </c:pt>
                <c:pt idx="34">
                  <c:v>340</c:v>
                </c:pt>
                <c:pt idx="35">
                  <c:v>333</c:v>
                </c:pt>
                <c:pt idx="36">
                  <c:v>326</c:v>
                </c:pt>
                <c:pt idx="37">
                  <c:v>319</c:v>
                </c:pt>
                <c:pt idx="38">
                  <c:v>312</c:v>
                </c:pt>
                <c:pt idx="39">
                  <c:v>305</c:v>
                </c:pt>
                <c:pt idx="40">
                  <c:v>298</c:v>
                </c:pt>
                <c:pt idx="41">
                  <c:v>291</c:v>
                </c:pt>
                <c:pt idx="42">
                  <c:v>284</c:v>
                </c:pt>
                <c:pt idx="43">
                  <c:v>277</c:v>
                </c:pt>
                <c:pt idx="44">
                  <c:v>270</c:v>
                </c:pt>
                <c:pt idx="45">
                  <c:v>263</c:v>
                </c:pt>
                <c:pt idx="46">
                  <c:v>256</c:v>
                </c:pt>
                <c:pt idx="47">
                  <c:v>249</c:v>
                </c:pt>
                <c:pt idx="48">
                  <c:v>242</c:v>
                </c:pt>
                <c:pt idx="49">
                  <c:v>235</c:v>
                </c:pt>
                <c:pt idx="50">
                  <c:v>228</c:v>
                </c:pt>
                <c:pt idx="51">
                  <c:v>221</c:v>
                </c:pt>
                <c:pt idx="52">
                  <c:v>214</c:v>
                </c:pt>
                <c:pt idx="53">
                  <c:v>207</c:v>
                </c:pt>
                <c:pt idx="54">
                  <c:v>200</c:v>
                </c:pt>
                <c:pt idx="55">
                  <c:v>193</c:v>
                </c:pt>
                <c:pt idx="56">
                  <c:v>186</c:v>
                </c:pt>
                <c:pt idx="57">
                  <c:v>179</c:v>
                </c:pt>
                <c:pt idx="58">
                  <c:v>172</c:v>
                </c:pt>
                <c:pt idx="59">
                  <c:v>165</c:v>
                </c:pt>
                <c:pt idx="60">
                  <c:v>158</c:v>
                </c:pt>
                <c:pt idx="61">
                  <c:v>151</c:v>
                </c:pt>
                <c:pt idx="62">
                  <c:v>144</c:v>
                </c:pt>
                <c:pt idx="63">
                  <c:v>137</c:v>
                </c:pt>
                <c:pt idx="64">
                  <c:v>130</c:v>
                </c:pt>
                <c:pt idx="65">
                  <c:v>123</c:v>
                </c:pt>
                <c:pt idx="66">
                  <c:v>116</c:v>
                </c:pt>
                <c:pt idx="67">
                  <c:v>109</c:v>
                </c:pt>
                <c:pt idx="68">
                  <c:v>102</c:v>
                </c:pt>
                <c:pt idx="69">
                  <c:v>95</c:v>
                </c:pt>
                <c:pt idx="70">
                  <c:v>88</c:v>
                </c:pt>
                <c:pt idx="71">
                  <c:v>81</c:v>
                </c:pt>
                <c:pt idx="72">
                  <c:v>74</c:v>
                </c:pt>
                <c:pt idx="73">
                  <c:v>67</c:v>
                </c:pt>
                <c:pt idx="74">
                  <c:v>60</c:v>
                </c:pt>
                <c:pt idx="75">
                  <c:v>53</c:v>
                </c:pt>
                <c:pt idx="76">
                  <c:v>46</c:v>
                </c:pt>
                <c:pt idx="77">
                  <c:v>39</c:v>
                </c:pt>
                <c:pt idx="78">
                  <c:v>32</c:v>
                </c:pt>
                <c:pt idx="79">
                  <c:v>25</c:v>
                </c:pt>
                <c:pt idx="80">
                  <c:v>18</c:v>
                </c:pt>
                <c:pt idx="81">
                  <c:v>11</c:v>
                </c:pt>
                <c:pt idx="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76-475B-A0E3-7D0CF10C0DEF}"/>
            </c:ext>
          </c:extLst>
        </c:ser>
        <c:ser>
          <c:idx val="0"/>
          <c:order val="1"/>
          <c:tx>
            <c:v>Pendente</c:v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Burndown!E2:E84</c:f>
              <c:numCache>
                <c:formatCode>General</c:formatCode>
                <c:ptCount val="83"/>
                <c:pt idx="0">
                  <c:v>578</c:v>
                </c:pt>
                <c:pt idx="1">
                  <c:v>574</c:v>
                </c:pt>
                <c:pt idx="2">
                  <c:v>570</c:v>
                </c:pt>
                <c:pt idx="3">
                  <c:v>566</c:v>
                </c:pt>
                <c:pt idx="4">
                  <c:v>562</c:v>
                </c:pt>
                <c:pt idx="5">
                  <c:v>558</c:v>
                </c:pt>
                <c:pt idx="6">
                  <c:v>554</c:v>
                </c:pt>
                <c:pt idx="7">
                  <c:v>550</c:v>
                </c:pt>
                <c:pt idx="8">
                  <c:v>546</c:v>
                </c:pt>
                <c:pt idx="9">
                  <c:v>542</c:v>
                </c:pt>
                <c:pt idx="10">
                  <c:v>538</c:v>
                </c:pt>
                <c:pt idx="11">
                  <c:v>534</c:v>
                </c:pt>
                <c:pt idx="12">
                  <c:v>530</c:v>
                </c:pt>
                <c:pt idx="13">
                  <c:v>526</c:v>
                </c:pt>
                <c:pt idx="14">
                  <c:v>522</c:v>
                </c:pt>
                <c:pt idx="15">
                  <c:v>518</c:v>
                </c:pt>
                <c:pt idx="16">
                  <c:v>514</c:v>
                </c:pt>
                <c:pt idx="17">
                  <c:v>510</c:v>
                </c:pt>
                <c:pt idx="18">
                  <c:v>506</c:v>
                </c:pt>
                <c:pt idx="19">
                  <c:v>502</c:v>
                </c:pt>
                <c:pt idx="20">
                  <c:v>498</c:v>
                </c:pt>
                <c:pt idx="21">
                  <c:v>494</c:v>
                </c:pt>
                <c:pt idx="22">
                  <c:v>490</c:v>
                </c:pt>
                <c:pt idx="23">
                  <c:v>486</c:v>
                </c:pt>
                <c:pt idx="24">
                  <c:v>471</c:v>
                </c:pt>
                <c:pt idx="25">
                  <c:v>456</c:v>
                </c:pt>
                <c:pt idx="26">
                  <c:v>441</c:v>
                </c:pt>
                <c:pt idx="27">
                  <c:v>426</c:v>
                </c:pt>
                <c:pt idx="28">
                  <c:v>411</c:v>
                </c:pt>
                <c:pt idx="29">
                  <c:v>396</c:v>
                </c:pt>
                <c:pt idx="30">
                  <c:v>381</c:v>
                </c:pt>
                <c:pt idx="31">
                  <c:v>366</c:v>
                </c:pt>
                <c:pt idx="32">
                  <c:v>351</c:v>
                </c:pt>
                <c:pt idx="33">
                  <c:v>336</c:v>
                </c:pt>
                <c:pt idx="34">
                  <c:v>334</c:v>
                </c:pt>
                <c:pt idx="35">
                  <c:v>324</c:v>
                </c:pt>
                <c:pt idx="36">
                  <c:v>309</c:v>
                </c:pt>
                <c:pt idx="37">
                  <c:v>300</c:v>
                </c:pt>
                <c:pt idx="38">
                  <c:v>292</c:v>
                </c:pt>
                <c:pt idx="39">
                  <c:v>284</c:v>
                </c:pt>
                <c:pt idx="40">
                  <c:v>276</c:v>
                </c:pt>
                <c:pt idx="41">
                  <c:v>268</c:v>
                </c:pt>
                <c:pt idx="42">
                  <c:v>260</c:v>
                </c:pt>
                <c:pt idx="43">
                  <c:v>252</c:v>
                </c:pt>
                <c:pt idx="44">
                  <c:v>244</c:v>
                </c:pt>
                <c:pt idx="45">
                  <c:v>236</c:v>
                </c:pt>
                <c:pt idx="46">
                  <c:v>228</c:v>
                </c:pt>
                <c:pt idx="47">
                  <c:v>220</c:v>
                </c:pt>
                <c:pt idx="48">
                  <c:v>212</c:v>
                </c:pt>
                <c:pt idx="49">
                  <c:v>204</c:v>
                </c:pt>
                <c:pt idx="50">
                  <c:v>196</c:v>
                </c:pt>
                <c:pt idx="51">
                  <c:v>188</c:v>
                </c:pt>
                <c:pt idx="52">
                  <c:v>180</c:v>
                </c:pt>
                <c:pt idx="53">
                  <c:v>172</c:v>
                </c:pt>
                <c:pt idx="54">
                  <c:v>164</c:v>
                </c:pt>
                <c:pt idx="55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6-475B-A0E3-7D0CF10C0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2753799"/>
        <c:axId val="1863559175"/>
      </c:lineChart>
      <c:catAx>
        <c:axId val="13427537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559175"/>
        <c:crosses val="autoZero"/>
        <c:auto val="1"/>
        <c:lblAlgn val="ctr"/>
        <c:lblOffset val="100"/>
        <c:noMultiLvlLbl val="0"/>
      </c:catAx>
      <c:valAx>
        <c:axId val="1863559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753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9525</xdr:rowOff>
    </xdr:from>
    <xdr:to>
      <xdr:col>16</xdr:col>
      <xdr:colOff>152400</xdr:colOff>
      <xdr:row>18</xdr:row>
      <xdr:rowOff>0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3E1A4E40-5C3A-D19E-C1B4-FDD4A11E64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20D77794-747B-4BDC-BD00-E6634E9A8800}">
    <nsvFilter filterId="{D0C6CB00-AF52-4F28-BA56-5DB87180FC88}" ref="A1:H48" tableId="1">
      <sortRules>
        <sortRule colId="6" id="{79D6308D-81CC-4FF3-A208-AE9E99AF04F2}">
          <sortCondition ref="G1:G48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C6CB00-AF52-4F28-BA56-5DB87180FC88}" name="Tabela1" displayName="Tabela1" ref="A1:H48" totalsRowShown="0" headerRowDxfId="9" dataDxfId="8">
  <autoFilter ref="A1:H48" xr:uid="{D0C6CB00-AF52-4F28-BA56-5DB87180FC88}">
    <filterColumn colId="6">
      <filters blank="1">
        <filter val="Sprint2"/>
      </filters>
    </filterColumn>
  </autoFilter>
  <sortState xmlns:xlrd2="http://schemas.microsoft.com/office/spreadsheetml/2017/richdata2" ref="A2:H48">
    <sortCondition ref="G2:G48"/>
  </sortState>
  <tableColumns count="8">
    <tableColumn id="1" xr3:uid="{A75844EA-0A3A-4331-B261-BD05067BB402}" name="Requisitos" dataDxfId="7"/>
    <tableColumn id="2" xr3:uid="{D49EB409-B824-46D3-9F82-6BCC88664413}" name="Descrição" dataDxfId="6"/>
    <tableColumn id="3" xr3:uid="{240504C3-34FA-47F5-BFE5-4F1997467FF7}" name="Classificação" dataDxfId="5"/>
    <tableColumn id="4" xr3:uid="{491ABB73-E828-4AD3-A183-D96A81796756}" name="Tamanho" dataDxfId="4"/>
    <tableColumn id="5" xr3:uid="{25CABAC5-8FAA-4045-81E7-645152A0527F}" name="Tamanho em pontos" dataDxfId="3"/>
    <tableColumn id="6" xr3:uid="{DE59359F-6E7A-4CDD-AA6E-04747691822C}" name="Prioridade" dataDxfId="2"/>
    <tableColumn id="7" xr3:uid="{79D6308D-81CC-4FF3-A208-AE9E99AF04F2}" name="Sprint" dataDxfId="1"/>
    <tableColumn id="8" xr3:uid="{52D26B30-BDC5-425E-B8D8-AE189773FD43}" name="Responsável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6288D4-6D5E-49F5-A2F3-EACDC19F05F9}" name="Tabela2" displayName="Tabela2" ref="A1:E84" totalsRowShown="0">
  <autoFilter ref="A1:E84" xr:uid="{466288D4-6D5E-49F5-A2F3-EACDC19F05F9}"/>
  <tableColumns count="5">
    <tableColumn id="1" xr3:uid="{C97974AB-DC69-4644-BF1A-E836C6F74D5E}" name="DIas"/>
    <tableColumn id="2" xr3:uid="{6A44A06F-B9D7-4859-8064-8BE8613E0052}" name="Meta Dia"/>
    <tableColumn id="3" xr3:uid="{7B9B1C44-DD7C-4F02-921F-7CB938060E72}" name="Meta Ideal"/>
    <tableColumn id="4" xr3:uid="{E4DD5496-5EA5-47BC-B344-3F93AEFBCB2E}" name="Realizado Dia REAL"/>
    <tableColumn id="5" xr3:uid="{1D33CDBF-B737-4D34-A298-8817B864377B}" name="Pend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tabSelected="1" workbookViewId="0">
      <pane ySplit="1" topLeftCell="A15" activePane="bottomLeft" state="frozen"/>
      <selection pane="bottomLeft" activeCell="C55" sqref="C55"/>
    </sheetView>
  </sheetViews>
  <sheetFormatPr defaultRowHeight="15"/>
  <cols>
    <col min="1" max="1" width="22.85546875" style="1" customWidth="1"/>
    <col min="2" max="2" width="31.7109375" style="1" customWidth="1"/>
    <col min="3" max="3" width="15.28515625" style="1" customWidth="1"/>
    <col min="4" max="4" width="11.5703125" style="1" bestFit="1" customWidth="1"/>
    <col min="5" max="5" width="21.5703125" style="1" bestFit="1" customWidth="1"/>
    <col min="6" max="6" width="12.42578125" style="1" bestFit="1" customWidth="1"/>
    <col min="7" max="7" width="10.42578125" style="1" bestFit="1" customWidth="1"/>
    <col min="8" max="8" width="15.85546875" style="1" bestFit="1" customWidth="1"/>
    <col min="9" max="10" width="9.140625" style="1"/>
    <col min="11" max="11" width="10.7109375" style="1" bestFit="1" customWidth="1"/>
    <col min="12" max="12" width="19.85546875" style="1" bestFit="1" customWidth="1"/>
    <col min="13" max="20" width="9.140625" style="1"/>
    <col min="21" max="22" width="9.140625" style="1" bestFit="1" customWidth="1"/>
    <col min="23" max="16384" width="9.140625" style="1"/>
  </cols>
  <sheetData>
    <row r="1" spans="1:2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M1" s="5"/>
    </row>
    <row r="2" spans="1:21" ht="39.75" hidden="1" customHeight="1">
      <c r="A2" s="1" t="s">
        <v>8</v>
      </c>
      <c r="B2" s="2" t="s">
        <v>9</v>
      </c>
      <c r="C2" s="3" t="s">
        <v>10</v>
      </c>
      <c r="D2" s="1" t="s">
        <v>11</v>
      </c>
      <c r="E2" s="1">
        <v>8</v>
      </c>
      <c r="F2" s="1">
        <v>1</v>
      </c>
      <c r="G2" s="1" t="s">
        <v>12</v>
      </c>
      <c r="H2" s="1" t="s">
        <v>13</v>
      </c>
      <c r="M2" s="5"/>
    </row>
    <row r="3" spans="1:21" ht="39.75" hidden="1" customHeight="1">
      <c r="A3" s="2" t="s">
        <v>14</v>
      </c>
      <c r="B3" s="2" t="s">
        <v>15</v>
      </c>
      <c r="C3" s="4" t="s">
        <v>10</v>
      </c>
      <c r="D3" s="1" t="s">
        <v>11</v>
      </c>
      <c r="E3" s="1">
        <v>8</v>
      </c>
      <c r="F3" s="1">
        <v>1</v>
      </c>
      <c r="G3" s="1" t="s">
        <v>12</v>
      </c>
      <c r="H3" s="1" t="s">
        <v>16</v>
      </c>
    </row>
    <row r="4" spans="1:21" ht="39.75" hidden="1" customHeight="1">
      <c r="A4" s="2" t="s">
        <v>17</v>
      </c>
      <c r="B4" s="2" t="s">
        <v>18</v>
      </c>
      <c r="C4" s="4" t="s">
        <v>10</v>
      </c>
      <c r="D4" s="1" t="s">
        <v>19</v>
      </c>
      <c r="E4" s="1">
        <v>13</v>
      </c>
      <c r="F4" s="1">
        <v>1</v>
      </c>
      <c r="G4" s="4" t="s">
        <v>12</v>
      </c>
      <c r="H4" s="1" t="s">
        <v>20</v>
      </c>
      <c r="T4" s="1" t="s">
        <v>21</v>
      </c>
      <c r="U4" s="1">
        <v>82</v>
      </c>
    </row>
    <row r="5" spans="1:21" ht="39.75" hidden="1" customHeight="1">
      <c r="A5" s="1" t="s">
        <v>22</v>
      </c>
      <c r="B5" s="2" t="s">
        <v>23</v>
      </c>
      <c r="C5" s="4" t="s">
        <v>10</v>
      </c>
      <c r="D5" s="1" t="s">
        <v>24</v>
      </c>
      <c r="E5" s="1">
        <v>5</v>
      </c>
      <c r="F5" s="1">
        <v>1</v>
      </c>
      <c r="G5" s="4" t="s">
        <v>12</v>
      </c>
      <c r="H5" s="1" t="s">
        <v>13</v>
      </c>
    </row>
    <row r="6" spans="1:21" ht="39.75" hidden="1" customHeight="1">
      <c r="A6" s="2" t="s">
        <v>25</v>
      </c>
      <c r="B6" s="2" t="s">
        <v>26</v>
      </c>
      <c r="C6" s="4" t="s">
        <v>10</v>
      </c>
      <c r="D6" s="1" t="s">
        <v>24</v>
      </c>
      <c r="E6" s="1">
        <v>5</v>
      </c>
      <c r="F6" s="1">
        <v>1</v>
      </c>
      <c r="G6" s="4" t="s">
        <v>12</v>
      </c>
      <c r="H6" s="1" t="s">
        <v>16</v>
      </c>
    </row>
    <row r="7" spans="1:21" ht="39.75" hidden="1" customHeight="1">
      <c r="A7" s="2" t="s">
        <v>27</v>
      </c>
      <c r="B7" s="2" t="s">
        <v>28</v>
      </c>
      <c r="C7" s="4" t="s">
        <v>10</v>
      </c>
      <c r="D7" s="1" t="s">
        <v>29</v>
      </c>
      <c r="E7" s="1">
        <v>3</v>
      </c>
      <c r="F7" s="1">
        <v>1</v>
      </c>
      <c r="G7" s="4" t="s">
        <v>12</v>
      </c>
      <c r="H7" s="1" t="s">
        <v>30</v>
      </c>
    </row>
    <row r="8" spans="1:21" ht="39.75" hidden="1" customHeight="1">
      <c r="A8" s="2" t="s">
        <v>31</v>
      </c>
      <c r="B8" s="2" t="s">
        <v>32</v>
      </c>
      <c r="C8" s="4" t="s">
        <v>33</v>
      </c>
      <c r="D8" s="1" t="s">
        <v>29</v>
      </c>
      <c r="E8" s="1">
        <v>3</v>
      </c>
      <c r="F8" s="1">
        <v>2</v>
      </c>
      <c r="G8" s="4" t="s">
        <v>12</v>
      </c>
      <c r="H8" s="1" t="s">
        <v>30</v>
      </c>
    </row>
    <row r="9" spans="1:21" ht="39.75" hidden="1" customHeight="1">
      <c r="A9" s="2" t="s">
        <v>34</v>
      </c>
      <c r="B9" s="2" t="s">
        <v>35</v>
      </c>
      <c r="C9" s="4" t="s">
        <v>10</v>
      </c>
      <c r="D9" s="1" t="s">
        <v>19</v>
      </c>
      <c r="E9" s="1">
        <v>13</v>
      </c>
      <c r="F9" s="1">
        <v>1</v>
      </c>
      <c r="G9" s="4" t="s">
        <v>12</v>
      </c>
      <c r="H9" s="1" t="s">
        <v>36</v>
      </c>
    </row>
    <row r="10" spans="1:21" ht="39.75" hidden="1" customHeight="1">
      <c r="A10" s="2" t="s">
        <v>37</v>
      </c>
      <c r="B10" s="2" t="s">
        <v>38</v>
      </c>
      <c r="C10" s="4" t="s">
        <v>10</v>
      </c>
      <c r="D10" s="1" t="s">
        <v>29</v>
      </c>
      <c r="E10" s="1">
        <v>3</v>
      </c>
      <c r="F10" s="1">
        <v>1</v>
      </c>
      <c r="G10" s="4" t="s">
        <v>12</v>
      </c>
      <c r="H10" s="1" t="s">
        <v>36</v>
      </c>
    </row>
    <row r="11" spans="1:21" ht="39.75" hidden="1" customHeight="1">
      <c r="A11" s="1" t="s">
        <v>39</v>
      </c>
      <c r="B11" s="2" t="s">
        <v>40</v>
      </c>
      <c r="C11" s="4" t="s">
        <v>10</v>
      </c>
      <c r="D11" s="1" t="s">
        <v>29</v>
      </c>
      <c r="E11" s="1">
        <v>3</v>
      </c>
      <c r="F11" s="1">
        <v>1</v>
      </c>
      <c r="G11" s="4" t="s">
        <v>12</v>
      </c>
      <c r="H11" s="1" t="s">
        <v>20</v>
      </c>
    </row>
    <row r="12" spans="1:21" ht="39.75" hidden="1" customHeight="1">
      <c r="A12" s="2" t="s">
        <v>41</v>
      </c>
      <c r="B12" s="2" t="s">
        <v>42</v>
      </c>
      <c r="C12" s="4" t="s">
        <v>10</v>
      </c>
      <c r="D12" s="1" t="s">
        <v>19</v>
      </c>
      <c r="E12" s="1">
        <v>13</v>
      </c>
      <c r="F12" s="1">
        <v>1</v>
      </c>
      <c r="G12" s="4" t="s">
        <v>12</v>
      </c>
      <c r="H12" s="1" t="s">
        <v>43</v>
      </c>
    </row>
    <row r="13" spans="1:21" ht="39.75" hidden="1" customHeight="1">
      <c r="A13" s="2" t="s">
        <v>44</v>
      </c>
      <c r="B13" s="2" t="s">
        <v>44</v>
      </c>
      <c r="C13" s="4" t="s">
        <v>33</v>
      </c>
      <c r="D13" s="1" t="s">
        <v>11</v>
      </c>
      <c r="E13" s="1">
        <v>8</v>
      </c>
      <c r="F13" s="1">
        <v>2</v>
      </c>
      <c r="G13" s="1" t="s">
        <v>12</v>
      </c>
      <c r="H13" s="1" t="s">
        <v>43</v>
      </c>
    </row>
    <row r="14" spans="1:21" ht="39.75" hidden="1" customHeight="1">
      <c r="A14" s="2" t="s">
        <v>45</v>
      </c>
      <c r="B14" s="2" t="s">
        <v>46</v>
      </c>
      <c r="C14" s="4" t="s">
        <v>10</v>
      </c>
      <c r="D14" s="1" t="s">
        <v>11</v>
      </c>
      <c r="E14" s="1">
        <v>8</v>
      </c>
      <c r="F14" s="1">
        <v>1</v>
      </c>
      <c r="G14" s="4" t="s">
        <v>12</v>
      </c>
      <c r="H14" s="1" t="s">
        <v>43</v>
      </c>
    </row>
    <row r="15" spans="1:21" ht="39.75" customHeight="1">
      <c r="A15" s="2" t="s">
        <v>47</v>
      </c>
      <c r="B15" s="2" t="s">
        <v>48</v>
      </c>
      <c r="C15" s="1" t="s">
        <v>33</v>
      </c>
      <c r="D15" s="1" t="s">
        <v>11</v>
      </c>
      <c r="E15" s="1">
        <v>8</v>
      </c>
      <c r="F15" s="1">
        <v>2</v>
      </c>
      <c r="G15" s="1" t="s">
        <v>49</v>
      </c>
      <c r="H15" s="1" t="s">
        <v>13</v>
      </c>
    </row>
    <row r="16" spans="1:21" ht="39.75" customHeight="1">
      <c r="A16" s="2" t="s">
        <v>50</v>
      </c>
      <c r="B16" s="2" t="s">
        <v>51</v>
      </c>
      <c r="C16" s="4" t="s">
        <v>10</v>
      </c>
      <c r="D16" s="1" t="s">
        <v>52</v>
      </c>
      <c r="E16" s="1">
        <v>21</v>
      </c>
      <c r="F16" s="1">
        <v>1</v>
      </c>
      <c r="G16" s="1" t="s">
        <v>49</v>
      </c>
      <c r="H16" s="1" t="s">
        <v>16</v>
      </c>
    </row>
    <row r="17" spans="1:8" ht="39.75" customHeight="1">
      <c r="A17" s="1" t="s">
        <v>53</v>
      </c>
      <c r="B17" s="2" t="s">
        <v>54</v>
      </c>
      <c r="C17" s="4" t="s">
        <v>33</v>
      </c>
      <c r="D17" s="1" t="s">
        <v>11</v>
      </c>
      <c r="E17" s="1">
        <v>8</v>
      </c>
      <c r="F17" s="1">
        <v>2</v>
      </c>
      <c r="G17" s="4" t="s">
        <v>49</v>
      </c>
      <c r="H17" s="1" t="s">
        <v>36</v>
      </c>
    </row>
    <row r="18" spans="1:8" ht="39.75" customHeight="1">
      <c r="A18" s="2" t="s">
        <v>55</v>
      </c>
      <c r="B18" s="2" t="s">
        <v>56</v>
      </c>
      <c r="C18" s="4" t="s">
        <v>10</v>
      </c>
      <c r="D18" s="1" t="s">
        <v>19</v>
      </c>
      <c r="E18" s="1">
        <v>13</v>
      </c>
      <c r="F18" s="1">
        <v>1</v>
      </c>
      <c r="G18" s="4" t="s">
        <v>49</v>
      </c>
      <c r="H18" s="1" t="s">
        <v>36</v>
      </c>
    </row>
    <row r="19" spans="1:8" ht="39.75" customHeight="1">
      <c r="A19" s="2" t="s">
        <v>57</v>
      </c>
      <c r="B19" s="1" t="s">
        <v>58</v>
      </c>
      <c r="C19" s="4" t="s">
        <v>10</v>
      </c>
      <c r="D19" s="1" t="s">
        <v>19</v>
      </c>
      <c r="E19" s="1">
        <v>13</v>
      </c>
      <c r="F19" s="1">
        <v>1</v>
      </c>
      <c r="G19" s="4" t="s">
        <v>49</v>
      </c>
      <c r="H19" s="1" t="s">
        <v>43</v>
      </c>
    </row>
    <row r="20" spans="1:8" ht="39.75" customHeight="1">
      <c r="A20" s="2" t="s">
        <v>59</v>
      </c>
      <c r="B20" s="1" t="s">
        <v>60</v>
      </c>
      <c r="C20" s="4" t="s">
        <v>10</v>
      </c>
      <c r="D20" s="1" t="s">
        <v>11</v>
      </c>
      <c r="E20" s="1">
        <v>8</v>
      </c>
      <c r="F20" s="1">
        <v>1</v>
      </c>
      <c r="G20" s="4" t="s">
        <v>49</v>
      </c>
      <c r="H20" s="1" t="s">
        <v>43</v>
      </c>
    </row>
    <row r="21" spans="1:8" ht="39.75" customHeight="1">
      <c r="A21" s="2" t="s">
        <v>61</v>
      </c>
      <c r="B21" s="1" t="s">
        <v>62</v>
      </c>
      <c r="C21" s="4" t="s">
        <v>10</v>
      </c>
      <c r="D21" s="1" t="s">
        <v>52</v>
      </c>
      <c r="E21" s="1">
        <v>21</v>
      </c>
      <c r="F21" s="1">
        <v>1</v>
      </c>
      <c r="G21" s="1" t="s">
        <v>49</v>
      </c>
      <c r="H21" s="1" t="s">
        <v>30</v>
      </c>
    </row>
    <row r="22" spans="1:8" ht="39.75" customHeight="1">
      <c r="A22" s="1" t="s">
        <v>63</v>
      </c>
      <c r="B22" s="1" t="s">
        <v>64</v>
      </c>
      <c r="C22" s="4" t="s">
        <v>10</v>
      </c>
      <c r="D22" s="1" t="s">
        <v>19</v>
      </c>
      <c r="E22" s="1">
        <v>13</v>
      </c>
      <c r="F22" s="1">
        <v>1</v>
      </c>
      <c r="G22" s="4" t="s">
        <v>49</v>
      </c>
      <c r="H22" s="1" t="s">
        <v>16</v>
      </c>
    </row>
    <row r="23" spans="1:8" ht="39.75" customHeight="1">
      <c r="A23" s="2" t="s">
        <v>65</v>
      </c>
      <c r="B23" s="1" t="s">
        <v>66</v>
      </c>
      <c r="C23" s="4" t="s">
        <v>10</v>
      </c>
      <c r="D23" s="1" t="s">
        <v>19</v>
      </c>
      <c r="E23" s="1">
        <v>13</v>
      </c>
      <c r="F23" s="1">
        <v>1</v>
      </c>
      <c r="G23" s="4" t="s">
        <v>49</v>
      </c>
      <c r="H23" s="1" t="s">
        <v>13</v>
      </c>
    </row>
    <row r="24" spans="1:8" ht="39.75" customHeight="1">
      <c r="A24" s="1" t="s">
        <v>67</v>
      </c>
      <c r="B24" s="1" t="s">
        <v>68</v>
      </c>
      <c r="C24" s="4" t="s">
        <v>10</v>
      </c>
      <c r="D24" s="1" t="s">
        <v>52</v>
      </c>
      <c r="E24" s="1">
        <v>21</v>
      </c>
      <c r="F24" s="1">
        <v>1</v>
      </c>
      <c r="G24" s="4" t="s">
        <v>49</v>
      </c>
      <c r="H24" s="1" t="s">
        <v>30</v>
      </c>
    </row>
    <row r="25" spans="1:8" ht="39.75" customHeight="1">
      <c r="A25" s="1" t="s">
        <v>69</v>
      </c>
      <c r="B25" s="2" t="s">
        <v>70</v>
      </c>
      <c r="C25" s="4" t="s">
        <v>10</v>
      </c>
      <c r="D25" s="1" t="s">
        <v>52</v>
      </c>
      <c r="E25" s="1">
        <v>21</v>
      </c>
      <c r="F25" s="1">
        <v>1</v>
      </c>
      <c r="G25" s="4" t="s">
        <v>49</v>
      </c>
      <c r="H25" s="1" t="s">
        <v>20</v>
      </c>
    </row>
    <row r="26" spans="1:8" ht="39.75" customHeight="1">
      <c r="A26" s="2" t="s">
        <v>71</v>
      </c>
      <c r="B26" s="2" t="s">
        <v>72</v>
      </c>
      <c r="C26" s="4" t="s">
        <v>10</v>
      </c>
      <c r="D26" s="1" t="s">
        <v>52</v>
      </c>
      <c r="E26" s="1">
        <v>21</v>
      </c>
      <c r="F26" s="1">
        <v>1</v>
      </c>
      <c r="G26" s="4" t="s">
        <v>49</v>
      </c>
      <c r="H26" s="1" t="s">
        <v>20</v>
      </c>
    </row>
    <row r="27" spans="1:8" ht="39.75" customHeight="1">
      <c r="A27" s="2" t="s">
        <v>73</v>
      </c>
      <c r="B27" s="2" t="s">
        <v>74</v>
      </c>
      <c r="C27" s="4" t="s">
        <v>33</v>
      </c>
      <c r="D27" s="1" t="s">
        <v>19</v>
      </c>
      <c r="E27" s="1">
        <v>13</v>
      </c>
      <c r="F27" s="1">
        <v>2</v>
      </c>
      <c r="G27" s="4" t="s">
        <v>49</v>
      </c>
      <c r="H27" s="1" t="s">
        <v>13</v>
      </c>
    </row>
    <row r="28" spans="1:8" ht="39.75" customHeight="1">
      <c r="A28" s="1" t="s">
        <v>75</v>
      </c>
      <c r="B28" s="2" t="s">
        <v>76</v>
      </c>
      <c r="C28" s="4" t="s">
        <v>10</v>
      </c>
      <c r="D28" s="1" t="s">
        <v>24</v>
      </c>
      <c r="E28" s="1">
        <v>5</v>
      </c>
      <c r="F28" s="1">
        <v>1</v>
      </c>
      <c r="G28" s="4" t="s">
        <v>49</v>
      </c>
      <c r="H28" s="1" t="s">
        <v>13</v>
      </c>
    </row>
    <row r="29" spans="1:8" ht="39.75" customHeight="1">
      <c r="A29" s="2" t="s">
        <v>77</v>
      </c>
      <c r="B29" s="2" t="s">
        <v>78</v>
      </c>
      <c r="C29" s="4" t="s">
        <v>10</v>
      </c>
      <c r="D29" s="1" t="s">
        <v>11</v>
      </c>
      <c r="E29" s="1">
        <v>8</v>
      </c>
      <c r="F29" s="1">
        <v>1</v>
      </c>
      <c r="G29" s="4" t="s">
        <v>49</v>
      </c>
      <c r="H29" s="1" t="s">
        <v>30</v>
      </c>
    </row>
    <row r="30" spans="1:8" ht="39.75" customHeight="1">
      <c r="A30" s="2" t="s">
        <v>79</v>
      </c>
      <c r="B30" s="6" t="s">
        <v>80</v>
      </c>
      <c r="C30" s="4" t="s">
        <v>33</v>
      </c>
      <c r="D30" s="1" t="s">
        <v>11</v>
      </c>
      <c r="E30" s="1">
        <v>8</v>
      </c>
      <c r="F30" s="1">
        <v>2</v>
      </c>
      <c r="G30" s="4" t="s">
        <v>49</v>
      </c>
      <c r="H30" s="1" t="s">
        <v>43</v>
      </c>
    </row>
    <row r="31" spans="1:8" ht="39.75" customHeight="1">
      <c r="A31" s="2" t="s">
        <v>81</v>
      </c>
      <c r="B31" s="2" t="s">
        <v>81</v>
      </c>
      <c r="C31" s="4" t="s">
        <v>33</v>
      </c>
      <c r="D31" s="1" t="s">
        <v>11</v>
      </c>
      <c r="E31" s="1">
        <v>8</v>
      </c>
      <c r="F31" s="1">
        <v>2</v>
      </c>
      <c r="G31" s="4" t="s">
        <v>49</v>
      </c>
      <c r="H31" s="1" t="s">
        <v>16</v>
      </c>
    </row>
    <row r="32" spans="1:8" ht="39.75" customHeight="1">
      <c r="A32" s="2" t="s">
        <v>82</v>
      </c>
      <c r="B32" s="2" t="s">
        <v>83</v>
      </c>
      <c r="C32" s="4" t="s">
        <v>10</v>
      </c>
      <c r="D32" s="1" t="s">
        <v>11</v>
      </c>
      <c r="E32" s="1">
        <v>8</v>
      </c>
      <c r="F32" s="1">
        <v>1</v>
      </c>
      <c r="G32" s="4" t="s">
        <v>49</v>
      </c>
      <c r="H32" s="1" t="s">
        <v>16</v>
      </c>
    </row>
    <row r="33" spans="1:8" ht="39.75" customHeight="1">
      <c r="A33" s="2" t="s">
        <v>84</v>
      </c>
      <c r="B33" s="2" t="s">
        <v>85</v>
      </c>
      <c r="C33" s="4" t="s">
        <v>10</v>
      </c>
      <c r="D33" s="1" t="s">
        <v>24</v>
      </c>
      <c r="E33" s="1">
        <v>5</v>
      </c>
      <c r="F33" s="1">
        <v>1</v>
      </c>
      <c r="G33" s="4" t="s">
        <v>49</v>
      </c>
      <c r="H33" s="1" t="s">
        <v>30</v>
      </c>
    </row>
    <row r="34" spans="1:8" ht="39.75" customHeight="1">
      <c r="A34" s="2" t="s">
        <v>86</v>
      </c>
      <c r="B34" s="2" t="s">
        <v>87</v>
      </c>
      <c r="C34" s="4" t="s">
        <v>33</v>
      </c>
      <c r="D34" s="1" t="s">
        <v>52</v>
      </c>
      <c r="E34" s="1">
        <v>21</v>
      </c>
      <c r="F34" s="1">
        <v>2</v>
      </c>
      <c r="G34" s="1" t="s">
        <v>49</v>
      </c>
      <c r="H34" s="1" t="s">
        <v>30</v>
      </c>
    </row>
    <row r="35" spans="1:8" ht="39.75" customHeight="1">
      <c r="A35" s="2" t="s">
        <v>88</v>
      </c>
      <c r="B35" s="1" t="s">
        <v>88</v>
      </c>
      <c r="C35" s="4" t="s">
        <v>10</v>
      </c>
      <c r="D35" s="1" t="s">
        <v>19</v>
      </c>
      <c r="E35" s="1">
        <v>13</v>
      </c>
      <c r="F35" s="1">
        <v>1</v>
      </c>
      <c r="G35" s="1" t="s">
        <v>49</v>
      </c>
      <c r="H35" s="1" t="s">
        <v>43</v>
      </c>
    </row>
    <row r="36" spans="1:8" ht="39.75" customHeight="1">
      <c r="A36" s="2" t="s">
        <v>89</v>
      </c>
      <c r="B36" s="2" t="s">
        <v>90</v>
      </c>
      <c r="C36" s="4" t="s">
        <v>10</v>
      </c>
      <c r="D36" s="1" t="s">
        <v>52</v>
      </c>
      <c r="E36" s="1">
        <v>21</v>
      </c>
      <c r="F36" s="1">
        <v>1</v>
      </c>
      <c r="G36" s="1" t="s">
        <v>49</v>
      </c>
      <c r="H36" s="1" t="s">
        <v>36</v>
      </c>
    </row>
    <row r="37" spans="1:8" ht="39.75" hidden="1" customHeight="1">
      <c r="A37" s="2" t="s">
        <v>91</v>
      </c>
      <c r="B37" s="2" t="s">
        <v>91</v>
      </c>
      <c r="C37" s="4" t="s">
        <v>33</v>
      </c>
      <c r="D37" s="1" t="s">
        <v>52</v>
      </c>
      <c r="E37" s="1">
        <v>21</v>
      </c>
      <c r="F37" s="1">
        <v>2</v>
      </c>
      <c r="G37" s="1" t="s">
        <v>92</v>
      </c>
      <c r="H37" s="1" t="s">
        <v>20</v>
      </c>
    </row>
    <row r="38" spans="1:8" ht="39.75" customHeight="1">
      <c r="A38" s="2" t="s">
        <v>93</v>
      </c>
      <c r="B38" s="2" t="s">
        <v>94</v>
      </c>
      <c r="C38" s="4" t="s">
        <v>33</v>
      </c>
      <c r="D38" s="1" t="s">
        <v>24</v>
      </c>
      <c r="E38" s="1">
        <v>5</v>
      </c>
      <c r="F38" s="1">
        <v>2</v>
      </c>
      <c r="G38" s="4" t="s">
        <v>49</v>
      </c>
      <c r="H38" s="1" t="s">
        <v>13</v>
      </c>
    </row>
    <row r="39" spans="1:8" ht="39.75" customHeight="1">
      <c r="A39" s="2" t="s">
        <v>95</v>
      </c>
      <c r="B39" s="2" t="s">
        <v>26</v>
      </c>
      <c r="C39" s="4" t="s">
        <v>10</v>
      </c>
      <c r="D39" s="1" t="s">
        <v>19</v>
      </c>
      <c r="E39" s="1">
        <v>18</v>
      </c>
      <c r="F39" s="1">
        <v>1</v>
      </c>
      <c r="G39" s="4" t="s">
        <v>49</v>
      </c>
      <c r="H39" s="1" t="s">
        <v>36</v>
      </c>
    </row>
    <row r="40" spans="1:8" ht="39.75" customHeight="1">
      <c r="A40" s="2" t="s">
        <v>96</v>
      </c>
      <c r="B40" s="2" t="s">
        <v>97</v>
      </c>
      <c r="C40" s="4" t="s">
        <v>10</v>
      </c>
      <c r="D40" s="1" t="s">
        <v>29</v>
      </c>
      <c r="E40" s="1">
        <v>3</v>
      </c>
      <c r="F40" s="1">
        <v>1</v>
      </c>
      <c r="G40" s="4" t="s">
        <v>49</v>
      </c>
      <c r="H40" s="1" t="s">
        <v>20</v>
      </c>
    </row>
    <row r="41" spans="1:8" ht="39.75" hidden="1" customHeight="1">
      <c r="A41" s="2" t="s">
        <v>98</v>
      </c>
      <c r="B41" s="1" t="s">
        <v>98</v>
      </c>
      <c r="C41" s="4" t="s">
        <v>10</v>
      </c>
      <c r="D41" s="1" t="s">
        <v>52</v>
      </c>
      <c r="E41" s="1">
        <v>21</v>
      </c>
      <c r="F41" s="1">
        <v>1</v>
      </c>
      <c r="G41" s="1" t="s">
        <v>92</v>
      </c>
    </row>
    <row r="42" spans="1:8" ht="39.75" hidden="1" customHeight="1">
      <c r="A42" s="2" t="s">
        <v>99</v>
      </c>
      <c r="B42" s="1" t="s">
        <v>99</v>
      </c>
      <c r="C42" s="4" t="s">
        <v>10</v>
      </c>
      <c r="D42" s="1" t="s">
        <v>52</v>
      </c>
      <c r="E42" s="1">
        <v>21</v>
      </c>
      <c r="F42" s="1">
        <v>1</v>
      </c>
      <c r="G42" s="4" t="s">
        <v>92</v>
      </c>
    </row>
    <row r="43" spans="1:8" ht="39.75" hidden="1" customHeight="1">
      <c r="A43" s="2" t="s">
        <v>100</v>
      </c>
      <c r="B43" s="1" t="s">
        <v>100</v>
      </c>
      <c r="C43" s="4" t="s">
        <v>10</v>
      </c>
      <c r="D43" s="1" t="s">
        <v>52</v>
      </c>
      <c r="E43" s="1">
        <v>21</v>
      </c>
      <c r="F43" s="1">
        <v>1</v>
      </c>
      <c r="G43" s="4" t="s">
        <v>92</v>
      </c>
    </row>
    <row r="44" spans="1:8" ht="39.75" hidden="1" customHeight="1">
      <c r="A44" s="2" t="s">
        <v>101</v>
      </c>
      <c r="B44" s="2" t="s">
        <v>102</v>
      </c>
      <c r="C44" s="4" t="s">
        <v>10</v>
      </c>
      <c r="D44" s="1" t="s">
        <v>52</v>
      </c>
      <c r="E44" s="1">
        <v>21</v>
      </c>
      <c r="F44" s="1">
        <v>1</v>
      </c>
      <c r="G44" s="1" t="s">
        <v>92</v>
      </c>
    </row>
    <row r="45" spans="1:8" ht="39.75" hidden="1" customHeight="1">
      <c r="A45" s="2" t="s">
        <v>103</v>
      </c>
      <c r="B45" s="2" t="s">
        <v>104</v>
      </c>
      <c r="C45" s="4" t="s">
        <v>10</v>
      </c>
      <c r="D45" s="1" t="s">
        <v>52</v>
      </c>
      <c r="E45" s="1">
        <v>21</v>
      </c>
      <c r="F45" s="1">
        <v>1</v>
      </c>
      <c r="G45" s="4" t="s">
        <v>92</v>
      </c>
    </row>
    <row r="46" spans="1:8" ht="39.75" hidden="1" customHeight="1">
      <c r="A46" s="2" t="s">
        <v>105</v>
      </c>
      <c r="B46" s="1" t="s">
        <v>105</v>
      </c>
      <c r="C46" s="4" t="s">
        <v>10</v>
      </c>
      <c r="D46" s="1" t="s">
        <v>52</v>
      </c>
      <c r="E46" s="1">
        <v>21</v>
      </c>
      <c r="F46" s="1">
        <v>1</v>
      </c>
      <c r="G46" s="1" t="s">
        <v>92</v>
      </c>
    </row>
    <row r="47" spans="1:8" ht="39.75" hidden="1" customHeight="1">
      <c r="A47" s="2" t="s">
        <v>106</v>
      </c>
      <c r="B47" s="2" t="s">
        <v>26</v>
      </c>
      <c r="C47" s="4" t="s">
        <v>10</v>
      </c>
      <c r="D47" s="1" t="s">
        <v>52</v>
      </c>
      <c r="E47" s="1">
        <v>21</v>
      </c>
      <c r="F47" s="1">
        <v>1</v>
      </c>
      <c r="G47" s="4" t="s">
        <v>92</v>
      </c>
    </row>
    <row r="48" spans="1:8" ht="39.75" customHeight="1"/>
    <row r="51" spans="8:8">
      <c r="H51" s="1" t="s">
        <v>107</v>
      </c>
    </row>
    <row r="53" spans="8:8">
      <c r="H53" s="1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CA79-3B49-4613-833C-22A8EC4074A7}">
  <dimension ref="A1:G84"/>
  <sheetViews>
    <sheetView workbookViewId="0">
      <selection activeCell="M21" sqref="M21"/>
    </sheetView>
  </sheetViews>
  <sheetFormatPr defaultRowHeight="15"/>
  <cols>
    <col min="1" max="1" width="10.42578125" bestFit="1" customWidth="1"/>
    <col min="2" max="2" width="11.28515625" bestFit="1" customWidth="1"/>
    <col min="3" max="3" width="12.7109375" bestFit="1" customWidth="1"/>
    <col min="4" max="4" width="20.140625" bestFit="1" customWidth="1"/>
    <col min="5" max="5" width="11.7109375" bestFit="1" customWidth="1"/>
    <col min="8" max="8" width="11.7109375" customWidth="1"/>
    <col min="9" max="9" width="16.42578125" customWidth="1"/>
  </cols>
  <sheetData>
    <row r="1" spans="1:7">
      <c r="A1" t="s">
        <v>108</v>
      </c>
      <c r="B1" t="s">
        <v>109</v>
      </c>
      <c r="C1" t="s">
        <v>110</v>
      </c>
      <c r="D1" t="s">
        <v>111</v>
      </c>
      <c r="E1" t="s">
        <v>112</v>
      </c>
    </row>
    <row r="2" spans="1:7">
      <c r="A2" s="8">
        <v>0</v>
      </c>
      <c r="B2" s="8">
        <v>0</v>
      </c>
      <c r="C2" s="8">
        <v>578</v>
      </c>
      <c r="D2" s="8">
        <v>0</v>
      </c>
      <c r="E2" s="8">
        <v>578</v>
      </c>
      <c r="G2" s="7"/>
    </row>
    <row r="3" spans="1:7">
      <c r="A3" s="8">
        <v>1</v>
      </c>
      <c r="B3" s="8">
        <v>7</v>
      </c>
      <c r="C3" s="8">
        <f>C2-Tabela2[[#This Row],[Meta Dia]]</f>
        <v>571</v>
      </c>
      <c r="D3" s="8">
        <v>4</v>
      </c>
      <c r="E3" s="8">
        <f>E2-Tabela2[[#This Row],[Realizado Dia REAL]]</f>
        <v>574</v>
      </c>
    </row>
    <row r="4" spans="1:7">
      <c r="A4" s="8">
        <v>2</v>
      </c>
      <c r="B4" s="8">
        <v>7</v>
      </c>
      <c r="C4" s="8">
        <f>C3-Tabela2[[#This Row],[Meta Dia]]</f>
        <v>564</v>
      </c>
      <c r="D4" s="8">
        <v>4</v>
      </c>
      <c r="E4" s="8">
        <f>E3-Tabela2[[#This Row],[Realizado Dia REAL]]</f>
        <v>570</v>
      </c>
    </row>
    <row r="5" spans="1:7">
      <c r="A5" s="8">
        <v>3</v>
      </c>
      <c r="B5" s="8">
        <v>7</v>
      </c>
      <c r="C5" s="8">
        <f>C4-Tabela2[[#This Row],[Meta Dia]]</f>
        <v>557</v>
      </c>
      <c r="D5" s="8">
        <v>4</v>
      </c>
      <c r="E5" s="8">
        <f>E4-Tabela2[[#This Row],[Realizado Dia REAL]]</f>
        <v>566</v>
      </c>
    </row>
    <row r="6" spans="1:7">
      <c r="A6" s="8">
        <v>4</v>
      </c>
      <c r="B6" s="8">
        <v>7</v>
      </c>
      <c r="C6" s="8">
        <f>C5-Tabela2[[#This Row],[Meta Dia]]</f>
        <v>550</v>
      </c>
      <c r="D6" s="8">
        <v>4</v>
      </c>
      <c r="E6" s="8">
        <f>E5-Tabela2[[#This Row],[Realizado Dia REAL]]</f>
        <v>562</v>
      </c>
    </row>
    <row r="7" spans="1:7">
      <c r="A7" s="8">
        <v>5</v>
      </c>
      <c r="B7" s="8">
        <v>7</v>
      </c>
      <c r="C7" s="8">
        <f>C6-Tabela2[[#This Row],[Meta Dia]]</f>
        <v>543</v>
      </c>
      <c r="D7" s="8">
        <v>4</v>
      </c>
      <c r="E7" s="8">
        <f>E6-Tabela2[[#This Row],[Realizado Dia REAL]]</f>
        <v>558</v>
      </c>
    </row>
    <row r="8" spans="1:7">
      <c r="A8" s="8">
        <v>6</v>
      </c>
      <c r="B8" s="8">
        <v>7</v>
      </c>
      <c r="C8" s="8">
        <f>C7-Tabela2[[#This Row],[Meta Dia]]</f>
        <v>536</v>
      </c>
      <c r="D8" s="8">
        <v>4</v>
      </c>
      <c r="E8" s="8">
        <f>E7-Tabela2[[#This Row],[Realizado Dia REAL]]</f>
        <v>554</v>
      </c>
    </row>
    <row r="9" spans="1:7">
      <c r="A9" s="8">
        <v>7</v>
      </c>
      <c r="B9" s="8">
        <v>7</v>
      </c>
      <c r="C9" s="8">
        <f>C8-Tabela2[[#This Row],[Meta Dia]]</f>
        <v>529</v>
      </c>
      <c r="D9" s="8">
        <v>4</v>
      </c>
      <c r="E9" s="8">
        <f>E8-Tabela2[[#This Row],[Realizado Dia REAL]]</f>
        <v>550</v>
      </c>
    </row>
    <row r="10" spans="1:7">
      <c r="A10" s="8">
        <v>8</v>
      </c>
      <c r="B10" s="8">
        <v>7</v>
      </c>
      <c r="C10" s="8">
        <f>C9-Tabela2[[#This Row],[Meta Dia]]</f>
        <v>522</v>
      </c>
      <c r="D10" s="8">
        <v>4</v>
      </c>
      <c r="E10" s="8">
        <f>E9-Tabela2[[#This Row],[Realizado Dia REAL]]</f>
        <v>546</v>
      </c>
    </row>
    <row r="11" spans="1:7">
      <c r="A11" s="8">
        <v>9</v>
      </c>
      <c r="B11" s="8">
        <v>7</v>
      </c>
      <c r="C11" s="8">
        <f>C10-Tabela2[[#This Row],[Meta Dia]]</f>
        <v>515</v>
      </c>
      <c r="D11" s="8">
        <v>4</v>
      </c>
      <c r="E11" s="8">
        <f>E10-Tabela2[[#This Row],[Realizado Dia REAL]]</f>
        <v>542</v>
      </c>
    </row>
    <row r="12" spans="1:7">
      <c r="A12" s="8">
        <v>10</v>
      </c>
      <c r="B12" s="8">
        <v>7</v>
      </c>
      <c r="C12" s="8">
        <f>C11-Tabela2[[#This Row],[Meta Dia]]</f>
        <v>508</v>
      </c>
      <c r="D12" s="8">
        <v>4</v>
      </c>
      <c r="E12" s="8">
        <f>E11-Tabela2[[#This Row],[Realizado Dia REAL]]</f>
        <v>538</v>
      </c>
    </row>
    <row r="13" spans="1:7">
      <c r="A13" s="8">
        <v>11</v>
      </c>
      <c r="B13" s="8">
        <v>7</v>
      </c>
      <c r="C13" s="8">
        <f>C12-Tabela2[[#This Row],[Meta Dia]]</f>
        <v>501</v>
      </c>
      <c r="D13" s="8">
        <v>4</v>
      </c>
      <c r="E13" s="8">
        <f>E12-Tabela2[[#This Row],[Realizado Dia REAL]]</f>
        <v>534</v>
      </c>
    </row>
    <row r="14" spans="1:7">
      <c r="A14" s="8">
        <v>12</v>
      </c>
      <c r="B14" s="8">
        <v>7</v>
      </c>
      <c r="C14" s="8">
        <f>C13-Tabela2[[#This Row],[Meta Dia]]</f>
        <v>494</v>
      </c>
      <c r="D14" s="8">
        <v>4</v>
      </c>
      <c r="E14" s="8">
        <f>E13-Tabela2[[#This Row],[Realizado Dia REAL]]</f>
        <v>530</v>
      </c>
    </row>
    <row r="15" spans="1:7">
      <c r="A15" s="8">
        <v>13</v>
      </c>
      <c r="B15" s="8">
        <v>7</v>
      </c>
      <c r="C15" s="8">
        <f>C14-Tabela2[[#This Row],[Meta Dia]]</f>
        <v>487</v>
      </c>
      <c r="D15" s="8">
        <v>4</v>
      </c>
      <c r="E15" s="8">
        <f>E14-Tabela2[[#This Row],[Realizado Dia REAL]]</f>
        <v>526</v>
      </c>
    </row>
    <row r="16" spans="1:7">
      <c r="A16" s="8">
        <v>14</v>
      </c>
      <c r="B16" s="8">
        <v>7</v>
      </c>
      <c r="C16" s="8">
        <f>C15-Tabela2[[#This Row],[Meta Dia]]</f>
        <v>480</v>
      </c>
      <c r="D16" s="8">
        <v>4</v>
      </c>
      <c r="E16" s="8">
        <f>E15-Tabela2[[#This Row],[Realizado Dia REAL]]</f>
        <v>522</v>
      </c>
    </row>
    <row r="17" spans="1:5">
      <c r="A17" s="8">
        <v>15</v>
      </c>
      <c r="B17" s="8">
        <v>7</v>
      </c>
      <c r="C17" s="8">
        <f>C16-Tabela2[[#This Row],[Meta Dia]]</f>
        <v>473</v>
      </c>
      <c r="D17" s="8">
        <v>4</v>
      </c>
      <c r="E17" s="8">
        <f>E16-Tabela2[[#This Row],[Realizado Dia REAL]]</f>
        <v>518</v>
      </c>
    </row>
    <row r="18" spans="1:5">
      <c r="A18" s="8">
        <v>16</v>
      </c>
      <c r="B18" s="8">
        <v>7</v>
      </c>
      <c r="C18" s="8">
        <f>C17-Tabela2[[#This Row],[Meta Dia]]</f>
        <v>466</v>
      </c>
      <c r="D18" s="8">
        <v>4</v>
      </c>
      <c r="E18" s="8">
        <f>E17-Tabela2[[#This Row],[Realizado Dia REAL]]</f>
        <v>514</v>
      </c>
    </row>
    <row r="19" spans="1:5">
      <c r="A19" s="8">
        <v>17</v>
      </c>
      <c r="B19" s="8">
        <v>7</v>
      </c>
      <c r="C19" s="8">
        <f>C18-Tabela2[[#This Row],[Meta Dia]]</f>
        <v>459</v>
      </c>
      <c r="D19" s="8">
        <v>4</v>
      </c>
      <c r="E19" s="8">
        <f>E18-Tabela2[[#This Row],[Realizado Dia REAL]]</f>
        <v>510</v>
      </c>
    </row>
    <row r="20" spans="1:5">
      <c r="A20" s="8">
        <v>18</v>
      </c>
      <c r="B20" s="8">
        <v>7</v>
      </c>
      <c r="C20" s="8">
        <f>C19-Tabela2[[#This Row],[Meta Dia]]</f>
        <v>452</v>
      </c>
      <c r="D20" s="8">
        <v>4</v>
      </c>
      <c r="E20" s="8">
        <f>E19-Tabela2[[#This Row],[Realizado Dia REAL]]</f>
        <v>506</v>
      </c>
    </row>
    <row r="21" spans="1:5">
      <c r="A21" s="8">
        <v>19</v>
      </c>
      <c r="B21" s="8">
        <v>7</v>
      </c>
      <c r="C21" s="8">
        <f>C20-Tabela2[[#This Row],[Meta Dia]]</f>
        <v>445</v>
      </c>
      <c r="D21" s="8">
        <v>4</v>
      </c>
      <c r="E21" s="8">
        <f>E20-Tabela2[[#This Row],[Realizado Dia REAL]]</f>
        <v>502</v>
      </c>
    </row>
    <row r="22" spans="1:5">
      <c r="A22" s="8">
        <v>20</v>
      </c>
      <c r="B22" s="8">
        <v>7</v>
      </c>
      <c r="C22" s="8">
        <f>C21-Tabela2[[#This Row],[Meta Dia]]</f>
        <v>438</v>
      </c>
      <c r="D22" s="8">
        <v>4</v>
      </c>
      <c r="E22" s="8">
        <f>E21-Tabela2[[#This Row],[Realizado Dia REAL]]</f>
        <v>498</v>
      </c>
    </row>
    <row r="23" spans="1:5">
      <c r="A23" s="8">
        <v>21</v>
      </c>
      <c r="B23" s="8">
        <v>7</v>
      </c>
      <c r="C23" s="8">
        <f>C22-Tabela2[[#This Row],[Meta Dia]]</f>
        <v>431</v>
      </c>
      <c r="D23" s="8">
        <v>4</v>
      </c>
      <c r="E23" s="8">
        <f>E22-Tabela2[[#This Row],[Realizado Dia REAL]]</f>
        <v>494</v>
      </c>
    </row>
    <row r="24" spans="1:5">
      <c r="A24" s="8">
        <v>22</v>
      </c>
      <c r="B24" s="8">
        <v>7</v>
      </c>
      <c r="C24" s="8">
        <f>C23-Tabela2[[#This Row],[Meta Dia]]</f>
        <v>424</v>
      </c>
      <c r="D24" s="8">
        <v>4</v>
      </c>
      <c r="E24" s="8">
        <f>E23-Tabela2[[#This Row],[Realizado Dia REAL]]</f>
        <v>490</v>
      </c>
    </row>
    <row r="25" spans="1:5">
      <c r="A25" s="8">
        <v>23</v>
      </c>
      <c r="B25" s="8">
        <v>7</v>
      </c>
      <c r="C25" s="8">
        <f>C24-Tabela2[[#This Row],[Meta Dia]]</f>
        <v>417</v>
      </c>
      <c r="D25" s="8">
        <v>4</v>
      </c>
      <c r="E25" s="8">
        <f>E24-Tabela2[[#This Row],[Realizado Dia REAL]]</f>
        <v>486</v>
      </c>
    </row>
    <row r="26" spans="1:5">
      <c r="A26" s="8">
        <v>24</v>
      </c>
      <c r="B26" s="8">
        <v>7</v>
      </c>
      <c r="C26" s="8">
        <f>C25-Tabela2[[#This Row],[Meta Dia]]</f>
        <v>410</v>
      </c>
      <c r="D26" s="8">
        <v>15</v>
      </c>
      <c r="E26" s="8">
        <f>E25-Tabela2[[#This Row],[Realizado Dia REAL]]</f>
        <v>471</v>
      </c>
    </row>
    <row r="27" spans="1:5">
      <c r="A27" s="9">
        <v>25</v>
      </c>
      <c r="B27" s="9">
        <v>7</v>
      </c>
      <c r="C27" s="9">
        <f>C26-Tabela2[[#This Row],[Meta Dia]]</f>
        <v>403</v>
      </c>
      <c r="D27" s="9">
        <v>15</v>
      </c>
      <c r="E27" s="9">
        <f>E26-Tabela2[[#This Row],[Realizado Dia REAL]]</f>
        <v>456</v>
      </c>
    </row>
    <row r="28" spans="1:5">
      <c r="A28" s="9">
        <v>26</v>
      </c>
      <c r="B28" s="9">
        <v>7</v>
      </c>
      <c r="C28" s="9">
        <f>C27-Tabela2[[#This Row],[Meta Dia]]</f>
        <v>396</v>
      </c>
      <c r="D28" s="9">
        <v>15</v>
      </c>
      <c r="E28" s="9">
        <f>E27-Tabela2[[#This Row],[Realizado Dia REAL]]</f>
        <v>441</v>
      </c>
    </row>
    <row r="29" spans="1:5">
      <c r="A29" s="9">
        <v>27</v>
      </c>
      <c r="B29" s="9">
        <v>7</v>
      </c>
      <c r="C29" s="9">
        <f>C28-Tabela2[[#This Row],[Meta Dia]]</f>
        <v>389</v>
      </c>
      <c r="D29" s="9">
        <v>15</v>
      </c>
      <c r="E29" s="9">
        <f>E28-Tabela2[[#This Row],[Realizado Dia REAL]]</f>
        <v>426</v>
      </c>
    </row>
    <row r="30" spans="1:5">
      <c r="A30" s="9">
        <v>28</v>
      </c>
      <c r="B30" s="9">
        <v>7</v>
      </c>
      <c r="C30" s="9">
        <f>C29-Tabela2[[#This Row],[Meta Dia]]</f>
        <v>382</v>
      </c>
      <c r="D30" s="9">
        <v>15</v>
      </c>
      <c r="E30" s="9">
        <f>E29-Tabela2[[#This Row],[Realizado Dia REAL]]</f>
        <v>411</v>
      </c>
    </row>
    <row r="31" spans="1:5">
      <c r="A31" s="9">
        <v>29</v>
      </c>
      <c r="B31" s="9">
        <v>7</v>
      </c>
      <c r="C31" s="9">
        <f>C30-Tabela2[[#This Row],[Meta Dia]]</f>
        <v>375</v>
      </c>
      <c r="D31" s="9">
        <v>15</v>
      </c>
      <c r="E31" s="9">
        <f>E30-Tabela2[[#This Row],[Realizado Dia REAL]]</f>
        <v>396</v>
      </c>
    </row>
    <row r="32" spans="1:5">
      <c r="A32" s="9">
        <v>30</v>
      </c>
      <c r="B32" s="9">
        <v>7</v>
      </c>
      <c r="C32" s="9">
        <f>C31-Tabela2[[#This Row],[Meta Dia]]</f>
        <v>368</v>
      </c>
      <c r="D32" s="9">
        <v>15</v>
      </c>
      <c r="E32" s="9">
        <f>E31-Tabela2[[#This Row],[Realizado Dia REAL]]</f>
        <v>381</v>
      </c>
    </row>
    <row r="33" spans="1:5">
      <c r="A33" s="9">
        <v>31</v>
      </c>
      <c r="B33" s="9">
        <v>7</v>
      </c>
      <c r="C33" s="9">
        <f>C32-Tabela2[[#This Row],[Meta Dia]]</f>
        <v>361</v>
      </c>
      <c r="D33" s="9">
        <v>15</v>
      </c>
      <c r="E33" s="9">
        <f>E32-Tabela2[[#This Row],[Realizado Dia REAL]]</f>
        <v>366</v>
      </c>
    </row>
    <row r="34" spans="1:5">
      <c r="A34" s="9">
        <v>32</v>
      </c>
      <c r="B34" s="9">
        <v>7</v>
      </c>
      <c r="C34" s="9">
        <f>C33-Tabela2[[#This Row],[Meta Dia]]</f>
        <v>354</v>
      </c>
      <c r="D34" s="9">
        <v>15</v>
      </c>
      <c r="E34" s="9">
        <f>E33-Tabela2[[#This Row],[Realizado Dia REAL]]</f>
        <v>351</v>
      </c>
    </row>
    <row r="35" spans="1:5">
      <c r="A35" s="9">
        <v>33</v>
      </c>
      <c r="B35" s="9">
        <v>7</v>
      </c>
      <c r="C35" s="9">
        <f>C34-Tabela2[[#This Row],[Meta Dia]]</f>
        <v>347</v>
      </c>
      <c r="D35" s="9">
        <v>15</v>
      </c>
      <c r="E35" s="9">
        <f>E34-Tabela2[[#This Row],[Realizado Dia REAL]]</f>
        <v>336</v>
      </c>
    </row>
    <row r="36" spans="1:5">
      <c r="A36" s="9">
        <v>34</v>
      </c>
      <c r="B36" s="9">
        <v>7</v>
      </c>
      <c r="C36" s="9">
        <f>C35-Tabela2[[#This Row],[Meta Dia]]</f>
        <v>340</v>
      </c>
      <c r="D36" s="9">
        <v>2</v>
      </c>
      <c r="E36" s="9">
        <f>E35-Tabela2[[#This Row],[Realizado Dia REAL]]</f>
        <v>334</v>
      </c>
    </row>
    <row r="37" spans="1:5">
      <c r="A37" s="9">
        <v>35</v>
      </c>
      <c r="B37" s="9">
        <v>7</v>
      </c>
      <c r="C37" s="9">
        <f>C36-Tabela2[[#This Row],[Meta Dia]]</f>
        <v>333</v>
      </c>
      <c r="D37" s="9">
        <v>10</v>
      </c>
      <c r="E37" s="9">
        <f>E36-Tabela2[[#This Row],[Realizado Dia REAL]]</f>
        <v>324</v>
      </c>
    </row>
    <row r="38" spans="1:5">
      <c r="A38" s="9">
        <v>36</v>
      </c>
      <c r="B38" s="9">
        <v>7</v>
      </c>
      <c r="C38" s="9">
        <f>C37-Tabela2[[#This Row],[Meta Dia]]</f>
        <v>326</v>
      </c>
      <c r="D38" s="9">
        <v>15</v>
      </c>
      <c r="E38" s="9">
        <f>E37-Tabela2[[#This Row],[Realizado Dia REAL]]</f>
        <v>309</v>
      </c>
    </row>
    <row r="39" spans="1:5">
      <c r="A39" s="9">
        <v>37</v>
      </c>
      <c r="B39" s="9">
        <v>7</v>
      </c>
      <c r="C39" s="9">
        <f>C38-Tabela2[[#This Row],[Meta Dia]]</f>
        <v>319</v>
      </c>
      <c r="D39" s="9">
        <v>9</v>
      </c>
      <c r="E39" s="9">
        <f>E38-Tabela2[[#This Row],[Realizado Dia REAL]]</f>
        <v>300</v>
      </c>
    </row>
    <row r="40" spans="1:5">
      <c r="A40" s="9">
        <v>38</v>
      </c>
      <c r="B40" s="9">
        <v>7</v>
      </c>
      <c r="C40" s="9">
        <f>C39-Tabela2[[#This Row],[Meta Dia]]</f>
        <v>312</v>
      </c>
      <c r="D40" s="9">
        <v>8</v>
      </c>
      <c r="E40" s="9">
        <f>E39-Tabela2[[#This Row],[Realizado Dia REAL]]</f>
        <v>292</v>
      </c>
    </row>
    <row r="41" spans="1:5">
      <c r="A41" s="9">
        <v>39</v>
      </c>
      <c r="B41" s="9">
        <v>7</v>
      </c>
      <c r="C41" s="9">
        <f>C40-Tabela2[[#This Row],[Meta Dia]]</f>
        <v>305</v>
      </c>
      <c r="D41" s="9">
        <v>8</v>
      </c>
      <c r="E41" s="9">
        <f>E40-Tabela2[[#This Row],[Realizado Dia REAL]]</f>
        <v>284</v>
      </c>
    </row>
    <row r="42" spans="1:5">
      <c r="A42" s="9">
        <v>40</v>
      </c>
      <c r="B42" s="9">
        <v>7</v>
      </c>
      <c r="C42" s="9">
        <f>C41-Tabela2[[#This Row],[Meta Dia]]</f>
        <v>298</v>
      </c>
      <c r="D42" s="9">
        <v>8</v>
      </c>
      <c r="E42" s="9">
        <f>E41-Tabela2[[#This Row],[Realizado Dia REAL]]</f>
        <v>276</v>
      </c>
    </row>
    <row r="43" spans="1:5">
      <c r="A43" s="9">
        <v>41</v>
      </c>
      <c r="B43" s="9">
        <v>7</v>
      </c>
      <c r="C43" s="9">
        <f>C42-Tabela2[[#This Row],[Meta Dia]]</f>
        <v>291</v>
      </c>
      <c r="D43" s="9">
        <v>8</v>
      </c>
      <c r="E43" s="9">
        <f>E42-Tabela2[[#This Row],[Realizado Dia REAL]]</f>
        <v>268</v>
      </c>
    </row>
    <row r="44" spans="1:5">
      <c r="A44" s="9">
        <v>42</v>
      </c>
      <c r="B44" s="9">
        <v>7</v>
      </c>
      <c r="C44" s="9">
        <f>C43-Tabela2[[#This Row],[Meta Dia]]</f>
        <v>284</v>
      </c>
      <c r="D44" s="9">
        <v>8</v>
      </c>
      <c r="E44" s="9">
        <f>E43-Tabela2[[#This Row],[Realizado Dia REAL]]</f>
        <v>260</v>
      </c>
    </row>
    <row r="45" spans="1:5">
      <c r="A45" s="9">
        <v>43</v>
      </c>
      <c r="B45" s="9">
        <v>7</v>
      </c>
      <c r="C45" s="9">
        <f>C44-Tabela2[[#This Row],[Meta Dia]]</f>
        <v>277</v>
      </c>
      <c r="D45" s="9">
        <v>8</v>
      </c>
      <c r="E45" s="9">
        <f>E44-Tabela2[[#This Row],[Realizado Dia REAL]]</f>
        <v>252</v>
      </c>
    </row>
    <row r="46" spans="1:5">
      <c r="A46" s="9">
        <v>44</v>
      </c>
      <c r="B46" s="9">
        <v>7</v>
      </c>
      <c r="C46" s="9">
        <f>C45-Tabela2[[#This Row],[Meta Dia]]</f>
        <v>270</v>
      </c>
      <c r="D46" s="9">
        <v>8</v>
      </c>
      <c r="E46" s="9">
        <f>E45-Tabela2[[#This Row],[Realizado Dia REAL]]</f>
        <v>244</v>
      </c>
    </row>
    <row r="47" spans="1:5">
      <c r="A47" s="9">
        <v>45</v>
      </c>
      <c r="B47" s="9">
        <v>7</v>
      </c>
      <c r="C47" s="9">
        <f>C46-Tabela2[[#This Row],[Meta Dia]]</f>
        <v>263</v>
      </c>
      <c r="D47" s="9">
        <v>8</v>
      </c>
      <c r="E47" s="9">
        <f>E46-Tabela2[[#This Row],[Realizado Dia REAL]]</f>
        <v>236</v>
      </c>
    </row>
    <row r="48" spans="1:5">
      <c r="A48" s="9">
        <v>46</v>
      </c>
      <c r="B48" s="9">
        <v>7</v>
      </c>
      <c r="C48" s="9">
        <f>C47-Tabela2[[#This Row],[Meta Dia]]</f>
        <v>256</v>
      </c>
      <c r="D48" s="9">
        <v>8</v>
      </c>
      <c r="E48" s="9">
        <f>E47-Tabela2[[#This Row],[Realizado Dia REAL]]</f>
        <v>228</v>
      </c>
    </row>
    <row r="49" spans="1:5">
      <c r="A49" s="9">
        <v>47</v>
      </c>
      <c r="B49" s="9">
        <v>7</v>
      </c>
      <c r="C49" s="9">
        <f>C48-Tabela2[[#This Row],[Meta Dia]]</f>
        <v>249</v>
      </c>
      <c r="D49" s="9">
        <v>8</v>
      </c>
      <c r="E49" s="9">
        <f>E48-Tabela2[[#This Row],[Realizado Dia REAL]]</f>
        <v>220</v>
      </c>
    </row>
    <row r="50" spans="1:5">
      <c r="A50" s="9">
        <v>48</v>
      </c>
      <c r="B50" s="9">
        <v>7</v>
      </c>
      <c r="C50" s="9">
        <f>C49-Tabela2[[#This Row],[Meta Dia]]</f>
        <v>242</v>
      </c>
      <c r="D50" s="9">
        <v>8</v>
      </c>
      <c r="E50" s="9">
        <f>E49-Tabela2[[#This Row],[Realizado Dia REAL]]</f>
        <v>212</v>
      </c>
    </row>
    <row r="51" spans="1:5">
      <c r="A51" s="9">
        <v>49</v>
      </c>
      <c r="B51" s="9">
        <v>7</v>
      </c>
      <c r="C51" s="9">
        <f>C50-Tabela2[[#This Row],[Meta Dia]]</f>
        <v>235</v>
      </c>
      <c r="D51" s="9">
        <v>8</v>
      </c>
      <c r="E51" s="9">
        <f>E50-Tabela2[[#This Row],[Realizado Dia REAL]]</f>
        <v>204</v>
      </c>
    </row>
    <row r="52" spans="1:5">
      <c r="A52" s="9">
        <v>50</v>
      </c>
      <c r="B52" s="9">
        <v>7</v>
      </c>
      <c r="C52" s="9">
        <f>C51-Tabela2[[#This Row],[Meta Dia]]</f>
        <v>228</v>
      </c>
      <c r="D52" s="9">
        <v>8</v>
      </c>
      <c r="E52" s="9">
        <f>E51-Tabela2[[#This Row],[Realizado Dia REAL]]</f>
        <v>196</v>
      </c>
    </row>
    <row r="53" spans="1:5">
      <c r="A53" s="9">
        <v>51</v>
      </c>
      <c r="B53" s="9">
        <v>7</v>
      </c>
      <c r="C53" s="9">
        <f>C52-Tabela2[[#This Row],[Meta Dia]]</f>
        <v>221</v>
      </c>
      <c r="D53" s="9">
        <v>8</v>
      </c>
      <c r="E53" s="9">
        <f>E52-Tabela2[[#This Row],[Realizado Dia REAL]]</f>
        <v>188</v>
      </c>
    </row>
    <row r="54" spans="1:5">
      <c r="A54" s="9">
        <v>52</v>
      </c>
      <c r="B54" s="9">
        <v>7</v>
      </c>
      <c r="C54" s="9">
        <f>C53-Tabela2[[#This Row],[Meta Dia]]</f>
        <v>214</v>
      </c>
      <c r="D54" s="9">
        <v>8</v>
      </c>
      <c r="E54" s="9">
        <f>E53-Tabela2[[#This Row],[Realizado Dia REAL]]</f>
        <v>180</v>
      </c>
    </row>
    <row r="55" spans="1:5">
      <c r="A55" s="9">
        <v>53</v>
      </c>
      <c r="B55" s="9">
        <v>7</v>
      </c>
      <c r="C55" s="9">
        <f>C54-Tabela2[[#This Row],[Meta Dia]]</f>
        <v>207</v>
      </c>
      <c r="D55" s="9">
        <v>8</v>
      </c>
      <c r="E55" s="9">
        <f>E54-Tabela2[[#This Row],[Realizado Dia REAL]]</f>
        <v>172</v>
      </c>
    </row>
    <row r="56" spans="1:5">
      <c r="A56" s="9">
        <v>54</v>
      </c>
      <c r="B56" s="9">
        <v>7</v>
      </c>
      <c r="C56" s="9">
        <f>C55-Tabela2[[#This Row],[Meta Dia]]</f>
        <v>200</v>
      </c>
      <c r="D56" s="9">
        <v>8</v>
      </c>
      <c r="E56" s="9">
        <f>E55-Tabela2[[#This Row],[Realizado Dia REAL]]</f>
        <v>164</v>
      </c>
    </row>
    <row r="57" spans="1:5">
      <c r="A57" s="9">
        <v>55</v>
      </c>
      <c r="B57" s="9">
        <v>7</v>
      </c>
      <c r="C57" s="9">
        <f>C56-Tabela2[[#This Row],[Meta Dia]]</f>
        <v>193</v>
      </c>
      <c r="D57" s="9">
        <v>8</v>
      </c>
      <c r="E57" s="9">
        <f>E56-Tabela2[[#This Row],[Realizado Dia REAL]]</f>
        <v>156</v>
      </c>
    </row>
    <row r="58" spans="1:5">
      <c r="A58" s="10">
        <v>56</v>
      </c>
      <c r="B58" s="10">
        <v>7</v>
      </c>
      <c r="C58" s="10">
        <f>C57-Tabela2[[#This Row],[Meta Dia]]</f>
        <v>186</v>
      </c>
      <c r="D58" s="10"/>
      <c r="E58" s="10"/>
    </row>
    <row r="59" spans="1:5">
      <c r="A59" s="10">
        <v>57</v>
      </c>
      <c r="B59" s="10">
        <v>7</v>
      </c>
      <c r="C59" s="10">
        <f>C58-Tabela2[[#This Row],[Meta Dia]]</f>
        <v>179</v>
      </c>
      <c r="D59" s="10"/>
      <c r="E59" s="10"/>
    </row>
    <row r="60" spans="1:5">
      <c r="A60" s="10">
        <v>58</v>
      </c>
      <c r="B60" s="10">
        <v>7</v>
      </c>
      <c r="C60" s="10">
        <f>C59-Tabela2[[#This Row],[Meta Dia]]</f>
        <v>172</v>
      </c>
      <c r="D60" s="10"/>
      <c r="E60" s="10"/>
    </row>
    <row r="61" spans="1:5">
      <c r="A61" s="10">
        <v>59</v>
      </c>
      <c r="B61" s="10">
        <v>7</v>
      </c>
      <c r="C61" s="10">
        <f>C60-Tabela2[[#This Row],[Meta Dia]]</f>
        <v>165</v>
      </c>
      <c r="D61" s="10"/>
      <c r="E61" s="10"/>
    </row>
    <row r="62" spans="1:5">
      <c r="A62" s="10">
        <v>60</v>
      </c>
      <c r="B62" s="10">
        <v>7</v>
      </c>
      <c r="C62" s="10">
        <f>C61-Tabela2[[#This Row],[Meta Dia]]</f>
        <v>158</v>
      </c>
      <c r="D62" s="10"/>
      <c r="E62" s="10"/>
    </row>
    <row r="63" spans="1:5">
      <c r="A63" s="10">
        <v>61</v>
      </c>
      <c r="B63" s="10">
        <v>7</v>
      </c>
      <c r="C63" s="10">
        <f>C62-Tabela2[[#This Row],[Meta Dia]]</f>
        <v>151</v>
      </c>
      <c r="D63" s="10"/>
      <c r="E63" s="10"/>
    </row>
    <row r="64" spans="1:5">
      <c r="A64" s="10">
        <v>62</v>
      </c>
      <c r="B64" s="10">
        <v>7</v>
      </c>
      <c r="C64" s="10">
        <f>C63-Tabela2[[#This Row],[Meta Dia]]</f>
        <v>144</v>
      </c>
      <c r="D64" s="10"/>
      <c r="E64" s="10"/>
    </row>
    <row r="65" spans="1:5">
      <c r="A65" s="10">
        <v>63</v>
      </c>
      <c r="B65" s="10">
        <v>7</v>
      </c>
      <c r="C65" s="10">
        <f>C64-Tabela2[[#This Row],[Meta Dia]]</f>
        <v>137</v>
      </c>
      <c r="D65" s="10"/>
      <c r="E65" s="10"/>
    </row>
    <row r="66" spans="1:5">
      <c r="A66" s="10">
        <v>64</v>
      </c>
      <c r="B66" s="10">
        <v>7</v>
      </c>
      <c r="C66" s="10">
        <f>C65-Tabela2[[#This Row],[Meta Dia]]</f>
        <v>130</v>
      </c>
      <c r="D66" s="10"/>
      <c r="E66" s="10"/>
    </row>
    <row r="67" spans="1:5">
      <c r="A67" s="10">
        <v>65</v>
      </c>
      <c r="B67" s="10">
        <v>7</v>
      </c>
      <c r="C67" s="10">
        <f>C66-Tabela2[[#This Row],[Meta Dia]]</f>
        <v>123</v>
      </c>
      <c r="D67" s="10"/>
      <c r="E67" s="10"/>
    </row>
    <row r="68" spans="1:5">
      <c r="A68" s="10">
        <v>66</v>
      </c>
      <c r="B68" s="10">
        <v>7</v>
      </c>
      <c r="C68" s="10">
        <f>C67-Tabela2[[#This Row],[Meta Dia]]</f>
        <v>116</v>
      </c>
      <c r="D68" s="10"/>
      <c r="E68" s="10"/>
    </row>
    <row r="69" spans="1:5">
      <c r="A69" s="10">
        <v>67</v>
      </c>
      <c r="B69" s="10">
        <v>7</v>
      </c>
      <c r="C69" s="10">
        <f>C68-Tabela2[[#This Row],[Meta Dia]]</f>
        <v>109</v>
      </c>
      <c r="D69" s="10"/>
      <c r="E69" s="10"/>
    </row>
    <row r="70" spans="1:5">
      <c r="A70" s="10">
        <v>68</v>
      </c>
      <c r="B70" s="10">
        <v>7</v>
      </c>
      <c r="C70" s="10">
        <f>C69-Tabela2[[#This Row],[Meta Dia]]</f>
        <v>102</v>
      </c>
      <c r="D70" s="10"/>
      <c r="E70" s="10"/>
    </row>
    <row r="71" spans="1:5">
      <c r="A71" s="10">
        <v>69</v>
      </c>
      <c r="B71" s="10">
        <v>7</v>
      </c>
      <c r="C71" s="10">
        <f>C70-Tabela2[[#This Row],[Meta Dia]]</f>
        <v>95</v>
      </c>
      <c r="D71" s="10"/>
      <c r="E71" s="10"/>
    </row>
    <row r="72" spans="1:5">
      <c r="A72" s="10">
        <v>70</v>
      </c>
      <c r="B72" s="10">
        <v>7</v>
      </c>
      <c r="C72" s="10">
        <f>C71-Tabela2[[#This Row],[Meta Dia]]</f>
        <v>88</v>
      </c>
      <c r="D72" s="10"/>
      <c r="E72" s="10"/>
    </row>
    <row r="73" spans="1:5">
      <c r="A73" s="10">
        <v>71</v>
      </c>
      <c r="B73" s="10">
        <v>7</v>
      </c>
      <c r="C73" s="10">
        <f>C72-Tabela2[[#This Row],[Meta Dia]]</f>
        <v>81</v>
      </c>
      <c r="D73" s="10"/>
      <c r="E73" s="10"/>
    </row>
    <row r="74" spans="1:5">
      <c r="A74" s="10">
        <v>72</v>
      </c>
      <c r="B74" s="10">
        <v>7</v>
      </c>
      <c r="C74" s="10">
        <f>C73-Tabela2[[#This Row],[Meta Dia]]</f>
        <v>74</v>
      </c>
      <c r="D74" s="10"/>
      <c r="E74" s="10"/>
    </row>
    <row r="75" spans="1:5">
      <c r="A75" s="10">
        <v>73</v>
      </c>
      <c r="B75" s="10">
        <v>7</v>
      </c>
      <c r="C75" s="10">
        <f>C74-Tabela2[[#This Row],[Meta Dia]]</f>
        <v>67</v>
      </c>
      <c r="D75" s="10"/>
      <c r="E75" s="10"/>
    </row>
    <row r="76" spans="1:5">
      <c r="A76" s="10">
        <v>74</v>
      </c>
      <c r="B76" s="10">
        <v>7</v>
      </c>
      <c r="C76" s="10">
        <f>C75-Tabela2[[#This Row],[Meta Dia]]</f>
        <v>60</v>
      </c>
      <c r="D76" s="10"/>
      <c r="E76" s="10"/>
    </row>
    <row r="77" spans="1:5">
      <c r="A77" s="10">
        <v>75</v>
      </c>
      <c r="B77" s="10">
        <v>7</v>
      </c>
      <c r="C77" s="10">
        <f>C76-Tabela2[[#This Row],[Meta Dia]]</f>
        <v>53</v>
      </c>
      <c r="D77" s="10"/>
      <c r="E77" s="10"/>
    </row>
    <row r="78" spans="1:5">
      <c r="A78" s="10">
        <v>76</v>
      </c>
      <c r="B78" s="10">
        <v>7</v>
      </c>
      <c r="C78" s="10">
        <f>C77-Tabela2[[#This Row],[Meta Dia]]</f>
        <v>46</v>
      </c>
      <c r="D78" s="10"/>
      <c r="E78" s="10"/>
    </row>
    <row r="79" spans="1:5">
      <c r="A79" s="10">
        <v>77</v>
      </c>
      <c r="B79" s="10">
        <v>7</v>
      </c>
      <c r="C79" s="10">
        <f>C78-Tabela2[[#This Row],[Meta Dia]]</f>
        <v>39</v>
      </c>
      <c r="D79" s="10"/>
      <c r="E79" s="10"/>
    </row>
    <row r="80" spans="1:5">
      <c r="A80" s="10">
        <v>78</v>
      </c>
      <c r="B80" s="10">
        <v>7</v>
      </c>
      <c r="C80" s="10">
        <f>C79-Tabela2[[#This Row],[Meta Dia]]</f>
        <v>32</v>
      </c>
      <c r="D80" s="10"/>
      <c r="E80" s="10"/>
    </row>
    <row r="81" spans="1:5">
      <c r="A81" s="10">
        <v>79</v>
      </c>
      <c r="B81" s="10">
        <v>7</v>
      </c>
      <c r="C81" s="10">
        <f>C80-Tabela2[[#This Row],[Meta Dia]]</f>
        <v>25</v>
      </c>
      <c r="D81" s="10"/>
      <c r="E81" s="10"/>
    </row>
    <row r="82" spans="1:5">
      <c r="A82" s="10">
        <v>80</v>
      </c>
      <c r="B82" s="10">
        <v>7</v>
      </c>
      <c r="C82" s="10">
        <f>C81-Tabela2[[#This Row],[Meta Dia]]</f>
        <v>18</v>
      </c>
      <c r="D82" s="10"/>
      <c r="E82" s="10"/>
    </row>
    <row r="83" spans="1:5">
      <c r="A83" s="10">
        <v>81</v>
      </c>
      <c r="B83" s="10">
        <v>7</v>
      </c>
      <c r="C83" s="10">
        <f>C82-Tabela2[[#This Row],[Meta Dia]]</f>
        <v>11</v>
      </c>
      <c r="D83" s="10"/>
      <c r="E83" s="10"/>
    </row>
    <row r="84" spans="1:5">
      <c r="A84" s="10">
        <v>82</v>
      </c>
      <c r="B84" s="10">
        <v>11</v>
      </c>
      <c r="C84" s="10">
        <f>C83-Tabela2[[#This Row],[Meta Dia]]</f>
        <v>0</v>
      </c>
      <c r="D84" s="10"/>
      <c r="E84" s="10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2026-03-31T13:39:24Z</dcterms:created>
  <dcterms:modified xsi:type="dcterms:W3CDTF">2026-04-25T13:46:06Z</dcterms:modified>
  <cp:category/>
  <cp:contentStatus/>
</cp:coreProperties>
</file>